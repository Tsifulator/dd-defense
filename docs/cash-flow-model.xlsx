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Model" sheetId="2" state="visible" r:id="rId2"/>
    <sheet xmlns:r="http://schemas.openxmlformats.org/officeDocument/2006/relationships" name="Ann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0.0%"/>
    <numFmt numFmtId="166" formatCode="$#,##0.00;($#,##0.00);&quot;-&quot;"/>
    <numFmt numFmtId="167" formatCode="#,##0;(#,##0);&quot;-&quot;"/>
    <numFmt numFmtId="168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i val="1"/>
      <sz val="9"/>
    </font>
    <font>
      <name val="Arial"/>
      <b val="1"/>
      <color rgb="00000000"/>
    </font>
    <font>
      <name val="Arial"/>
      <color rgb="00008000"/>
    </font>
    <font>
      <name val="Arial"/>
      <b val="1"/>
      <color rgb="00008000"/>
    </font>
    <font>
      <name val="Arial"/>
      <i val="1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6CC"/>
      </patternFill>
    </fill>
    <fill>
      <patternFill patternType="solid">
        <fgColor rgb="00E9F7EE"/>
      </patternFill>
    </fill>
    <fill>
      <patternFill patternType="solid">
        <fgColor rgb="00E8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0" pivotButton="0" quotePrefix="0" xfId="0"/>
    <xf numFmtId="165" fontId="5" fillId="3" borderId="0" pivotButton="0" quotePrefix="0" xfId="0"/>
    <xf numFmtId="0" fontId="6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164" fontId="7" fillId="4" borderId="0" pivotButton="0" quotePrefix="0" xfId="0"/>
    <xf numFmtId="166" fontId="5" fillId="3" borderId="0" pivotButton="0" quotePrefix="0" xfId="0"/>
    <xf numFmtId="167" fontId="5" fillId="3" borderId="0" pivotButton="0" quotePrefix="0" xfId="0"/>
    <xf numFmtId="166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3" borderId="0" pivotButton="0" quotePrefix="0" xfId="0"/>
    <xf numFmtId="167" fontId="4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0" fontId="4" fillId="5" borderId="0" pivotButton="0" quotePrefix="0" xfId="0"/>
    <xf numFmtId="0" fontId="5" fillId="5" borderId="0" pivotButton="0" quotePrefix="0" xfId="0"/>
    <xf numFmtId="167" fontId="4" fillId="5" borderId="0" pivotButton="0" quotePrefix="0" xfId="0"/>
    <xf numFmtId="164" fontId="8" fillId="5" borderId="0" pivotButton="0" quotePrefix="0" xfId="0"/>
    <xf numFmtId="164" fontId="4" fillId="5" borderId="0" pivotButton="0" quotePrefix="0" xfId="0"/>
    <xf numFmtId="0" fontId="3" fillId="2" borderId="0" applyAlignment="1" pivotButton="0" quotePrefix="0" xfId="0">
      <alignment horizontal="center"/>
    </xf>
    <xf numFmtId="167" fontId="8" fillId="0" borderId="0" pivotButton="0" quotePrefix="0" xfId="0"/>
    <xf numFmtId="164" fontId="9" fillId="0" borderId="0" pivotButton="0" quotePrefix="0" xfId="0"/>
    <xf numFmtId="165" fontId="4" fillId="0" borderId="0" pivotButton="0" quotePrefix="0" xfId="0"/>
    <xf numFmtId="168" fontId="5" fillId="3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6" customWidth="1" min="3" max="3"/>
  </cols>
  <sheetData>
    <row r="1">
      <c r="A1" s="1" t="inlineStr">
        <is>
          <t>D&amp;D Invoice Defense — Cash-Flow Model (Assumptions)</t>
        </is>
      </c>
    </row>
    <row r="2">
      <c r="A2" s="2" t="inlineStr">
        <is>
          <t>Blue = inputs you change.  Black = calculated.  Built June 2026.</t>
        </is>
      </c>
    </row>
    <row r="4">
      <c r="A4" s="3" t="inlineStr">
        <is>
          <t>PRICING — monthly subscription ($)</t>
        </is>
      </c>
      <c r="B4" s="4" t="n"/>
    </row>
    <row r="5">
      <c r="A5" s="5" t="inlineStr">
        <is>
          <t>Starter (≤50 invoices/mo)</t>
        </is>
      </c>
      <c r="B5" s="6" t="n">
        <v>149</v>
      </c>
    </row>
    <row r="6">
      <c r="A6" s="5" t="inlineStr">
        <is>
          <t>Growth (≤250 invoices/mo)</t>
        </is>
      </c>
      <c r="B6" s="6" t="n">
        <v>399</v>
      </c>
    </row>
    <row r="7">
      <c r="A7" s="5" t="inlineStr">
        <is>
          <t>Pro (≤1,000 invoices/mo)</t>
        </is>
      </c>
      <c r="B7" s="6" t="n">
        <v>899</v>
      </c>
    </row>
    <row r="8">
      <c r="A8" s="5" t="inlineStr">
        <is>
          <t>Managed add-on</t>
        </is>
      </c>
      <c r="B8" s="6" t="n">
        <v>750</v>
      </c>
      <c r="C8" s="2" t="inlineStr">
        <is>
          <t>optional service tier</t>
        </is>
      </c>
    </row>
    <row r="10">
      <c r="A10" s="3" t="inlineStr">
        <is>
          <t>CUSTOMER MIX — share of customers on each tier</t>
        </is>
      </c>
      <c r="B10" s="4" t="n"/>
    </row>
    <row r="11">
      <c r="A11" s="5" t="inlineStr">
        <is>
          <t>Starter %</t>
        </is>
      </c>
      <c r="B11" s="7" t="n">
        <v>0.6</v>
      </c>
    </row>
    <row r="12">
      <c r="A12" s="5" t="inlineStr">
        <is>
          <t>Growth %</t>
        </is>
      </c>
      <c r="B12" s="7" t="n">
        <v>0.3</v>
      </c>
    </row>
    <row r="13">
      <c r="A13" s="5" t="inlineStr">
        <is>
          <t>Pro %</t>
        </is>
      </c>
      <c r="B13" s="7" t="n">
        <v>0.1</v>
      </c>
    </row>
    <row r="14">
      <c r="A14" s="5" t="inlineStr">
        <is>
          <t>Managed attach % (of all customers)</t>
        </is>
      </c>
      <c r="B14" s="7" t="n">
        <v>0.05</v>
      </c>
    </row>
    <row r="15">
      <c r="A15" s="8" t="inlineStr">
        <is>
          <t>Mix check (must = 100%)</t>
        </is>
      </c>
      <c r="B15" s="9">
        <f>B11+B12+B13</f>
        <v/>
      </c>
    </row>
    <row r="16">
      <c r="A16" s="10" t="inlineStr">
        <is>
          <t>Blended ARPU ($/customer/mo)</t>
        </is>
      </c>
      <c r="B16" s="11">
        <f>B11*B5+B12*B6+B13*B7+B14*B8</f>
        <v/>
      </c>
    </row>
    <row r="18">
      <c r="A18" s="3" t="inlineStr">
        <is>
          <t>UNIT ECONOMICS (cost to serve)</t>
        </is>
      </c>
      <c r="B18" s="4" t="n"/>
    </row>
    <row r="19">
      <c r="A19" s="5" t="inlineStr">
        <is>
          <t>API cost per invoice ($)</t>
        </is>
      </c>
      <c r="B19" s="12" t="n">
        <v>0.03</v>
      </c>
      <c r="C19" s="2" t="inlineStr">
        <is>
          <t>Haiku vision extraction</t>
        </is>
      </c>
    </row>
    <row r="20">
      <c r="A20" s="5" t="inlineStr">
        <is>
          <t>Avg invoices / customer / mo</t>
        </is>
      </c>
      <c r="B20" s="13" t="n">
        <v>150</v>
      </c>
    </row>
    <row r="21">
      <c r="A21" s="5" t="inlineStr">
        <is>
          <t>API cost / customer / mo ($)</t>
        </is>
      </c>
      <c r="B21" s="14">
        <f>B19*B20</f>
        <v/>
      </c>
    </row>
    <row r="23">
      <c r="A23" s="3" t="inlineStr">
        <is>
          <t>OPERATING COSTS — monthly ($)</t>
        </is>
      </c>
      <c r="B23" s="4" t="n"/>
    </row>
    <row r="24">
      <c r="A24" s="5" t="inlineStr">
        <is>
          <t>Infrastructure (hosting, domain)</t>
        </is>
      </c>
      <c r="B24" s="6" t="n">
        <v>50</v>
      </c>
      <c r="C24" s="2" t="inlineStr">
        <is>
          <t>Railway + misc</t>
        </is>
      </c>
    </row>
    <row r="25">
      <c r="A25" s="5" t="inlineStr">
        <is>
          <t>Founder draw (your salary)</t>
        </is>
      </c>
      <c r="B25" s="6" t="n">
        <v>0</v>
      </c>
      <c r="C25" s="2" t="inlineStr">
        <is>
          <t>set &gt;0 to pay yourself</t>
        </is>
      </c>
    </row>
    <row r="27">
      <c r="A27" s="3" t="inlineStr">
        <is>
          <t>RETENTION</t>
        </is>
      </c>
      <c r="B27" s="4" t="n"/>
    </row>
    <row r="28">
      <c r="A28" s="5" t="inlineStr">
        <is>
          <t>Monthly churn rate</t>
        </is>
      </c>
      <c r="B28" s="7" t="n">
        <v>0.04</v>
      </c>
      <c r="C28" s="2" t="inlineStr">
        <is>
          <t>% of customers lost/mo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12" customWidth="1" min="4" max="4"/>
    <col width="12" customWidth="1" min="5" max="5"/>
    <col width="11" customWidth="1" min="6" max="6"/>
    <col width="13" customWidth="1" min="7" max="7"/>
    <col width="14" customWidth="1" min="8" max="8"/>
    <col width="13" customWidth="1" min="9" max="9"/>
    <col width="15" customWidth="1" min="10" max="10"/>
  </cols>
  <sheetData>
    <row r="1">
      <c r="A1" s="1" t="inlineStr">
        <is>
          <t>Monthly Cash Flow — base case (Jul 2026 → Dec 2028)</t>
        </is>
      </c>
    </row>
    <row r="3">
      <c r="A3" s="15" t="inlineStr">
        <is>
          <t>Month</t>
        </is>
      </c>
      <c r="B3" s="15" t="inlineStr">
        <is>
          <t>New Customers</t>
        </is>
      </c>
      <c r="C3" s="15" t="inlineStr">
        <is>
          <t>Churned</t>
        </is>
      </c>
      <c r="D3" s="15" t="inlineStr">
        <is>
          <t>Ending Customers</t>
        </is>
      </c>
      <c r="E3" s="15" t="inlineStr">
        <is>
          <t>Revenue ($)</t>
        </is>
      </c>
      <c r="F3" s="15" t="inlineStr">
        <is>
          <t>API Cost ($)</t>
        </is>
      </c>
      <c r="G3" s="15" t="inlineStr">
        <is>
          <t>Gross Profit ($)</t>
        </is>
      </c>
      <c r="H3" s="15" t="inlineStr">
        <is>
          <t>Operating Costs ($)</t>
        </is>
      </c>
      <c r="I3" s="15" t="inlineStr">
        <is>
          <t>Net Cash Flow ($)</t>
        </is>
      </c>
      <c r="J3" s="15" t="inlineStr">
        <is>
          <t>Cumulative Cash ($)</t>
        </is>
      </c>
    </row>
    <row r="4">
      <c r="A4" s="5" t="inlineStr">
        <is>
          <t>Jul-26</t>
        </is>
      </c>
      <c r="B4" s="16" t="n">
        <v>0</v>
      </c>
      <c r="C4" s="17" t="n">
        <v>0</v>
      </c>
      <c r="D4" s="17">
        <f>B4-C4</f>
        <v/>
      </c>
      <c r="E4" s="18">
        <f>D4*Assumptions!$B$16</f>
        <v/>
      </c>
      <c r="F4" s="18">
        <f>D4*Assumptions!$B$21</f>
        <v/>
      </c>
      <c r="G4" s="19">
        <f>E4-F4</f>
        <v/>
      </c>
      <c r="H4" s="18">
        <f>Assumptions!$B$24+Assumptions!$B$25</f>
        <v/>
      </c>
      <c r="I4" s="19">
        <f>G4-H4</f>
        <v/>
      </c>
      <c r="J4" s="19">
        <f>I4</f>
        <v/>
      </c>
    </row>
    <row r="5">
      <c r="A5" s="5" t="inlineStr">
        <is>
          <t>Aug-26</t>
        </is>
      </c>
      <c r="B5" s="16" t="n">
        <v>1</v>
      </c>
      <c r="C5" s="17">
        <f>ROUND(D4*Assumptions!$B$28,0)</f>
        <v/>
      </c>
      <c r="D5" s="17">
        <f>D4+B5-C5</f>
        <v/>
      </c>
      <c r="E5" s="18">
        <f>D5*Assumptions!$B$16</f>
        <v/>
      </c>
      <c r="F5" s="18">
        <f>D5*Assumptions!$B$21</f>
        <v/>
      </c>
      <c r="G5" s="19">
        <f>E5-F5</f>
        <v/>
      </c>
      <c r="H5" s="18">
        <f>Assumptions!$B$24+Assumptions!$B$25</f>
        <v/>
      </c>
      <c r="I5" s="19">
        <f>G5-H5</f>
        <v/>
      </c>
      <c r="J5" s="19">
        <f>I5+J4</f>
        <v/>
      </c>
    </row>
    <row r="6">
      <c r="A6" s="5" t="inlineStr">
        <is>
          <t>Sep-26</t>
        </is>
      </c>
      <c r="B6" s="16" t="n">
        <v>1</v>
      </c>
      <c r="C6" s="17">
        <f>ROUND(D5*Assumptions!$B$28,0)</f>
        <v/>
      </c>
      <c r="D6" s="17">
        <f>D5+B6-C6</f>
        <v/>
      </c>
      <c r="E6" s="18">
        <f>D6*Assumptions!$B$16</f>
        <v/>
      </c>
      <c r="F6" s="18">
        <f>D6*Assumptions!$B$21</f>
        <v/>
      </c>
      <c r="G6" s="19">
        <f>E6-F6</f>
        <v/>
      </c>
      <c r="H6" s="18">
        <f>Assumptions!$B$24+Assumptions!$B$25</f>
        <v/>
      </c>
      <c r="I6" s="19">
        <f>G6-H6</f>
        <v/>
      </c>
      <c r="J6" s="19">
        <f>I6+J5</f>
        <v/>
      </c>
    </row>
    <row r="7">
      <c r="A7" s="5" t="inlineStr">
        <is>
          <t>Oct-26</t>
        </is>
      </c>
      <c r="B7" s="16" t="n">
        <v>2</v>
      </c>
      <c r="C7" s="17">
        <f>ROUND(D6*Assumptions!$B$28,0)</f>
        <v/>
      </c>
      <c r="D7" s="17">
        <f>D6+B7-C7</f>
        <v/>
      </c>
      <c r="E7" s="18">
        <f>D7*Assumptions!$B$16</f>
        <v/>
      </c>
      <c r="F7" s="18">
        <f>D7*Assumptions!$B$21</f>
        <v/>
      </c>
      <c r="G7" s="19">
        <f>E7-F7</f>
        <v/>
      </c>
      <c r="H7" s="18">
        <f>Assumptions!$B$24+Assumptions!$B$25</f>
        <v/>
      </c>
      <c r="I7" s="19">
        <f>G7-H7</f>
        <v/>
      </c>
      <c r="J7" s="19">
        <f>I7+J6</f>
        <v/>
      </c>
    </row>
    <row r="8">
      <c r="A8" s="5" t="inlineStr">
        <is>
          <t>Nov-26</t>
        </is>
      </c>
      <c r="B8" s="16" t="n">
        <v>2</v>
      </c>
      <c r="C8" s="17">
        <f>ROUND(D7*Assumptions!$B$28,0)</f>
        <v/>
      </c>
      <c r="D8" s="17">
        <f>D7+B8-C8</f>
        <v/>
      </c>
      <c r="E8" s="18">
        <f>D8*Assumptions!$B$16</f>
        <v/>
      </c>
      <c r="F8" s="18">
        <f>D8*Assumptions!$B$21</f>
        <v/>
      </c>
      <c r="G8" s="19">
        <f>E8-F8</f>
        <v/>
      </c>
      <c r="H8" s="18">
        <f>Assumptions!$B$24+Assumptions!$B$25</f>
        <v/>
      </c>
      <c r="I8" s="19">
        <f>G8-H8</f>
        <v/>
      </c>
      <c r="J8" s="19">
        <f>I8+J7</f>
        <v/>
      </c>
    </row>
    <row r="9">
      <c r="A9" s="20" t="inlineStr">
        <is>
          <t>Dec-26</t>
        </is>
      </c>
      <c r="B9" s="21" t="n">
        <v>3</v>
      </c>
      <c r="C9" s="22">
        <f>ROUND(D8*Assumptions!$B$28,0)</f>
        <v/>
      </c>
      <c r="D9" s="22">
        <f>D8+B9-C9</f>
        <v/>
      </c>
      <c r="E9" s="23">
        <f>D9*Assumptions!$B$16</f>
        <v/>
      </c>
      <c r="F9" s="23">
        <f>D9*Assumptions!$B$21</f>
        <v/>
      </c>
      <c r="G9" s="24">
        <f>E9-F9</f>
        <v/>
      </c>
      <c r="H9" s="23">
        <f>Assumptions!$B$24+Assumptions!$B$25</f>
        <v/>
      </c>
      <c r="I9" s="24">
        <f>G9-H9</f>
        <v/>
      </c>
      <c r="J9" s="24">
        <f>I9+J8</f>
        <v/>
      </c>
    </row>
    <row r="10">
      <c r="A10" s="5" t="inlineStr">
        <is>
          <t>Jan-27</t>
        </is>
      </c>
      <c r="B10" s="16" t="n">
        <v>3</v>
      </c>
      <c r="C10" s="17">
        <f>ROUND(D9*Assumptions!$B$28,0)</f>
        <v/>
      </c>
      <c r="D10" s="17">
        <f>D9+B10-C10</f>
        <v/>
      </c>
      <c r="E10" s="18">
        <f>D10*Assumptions!$B$16</f>
        <v/>
      </c>
      <c r="F10" s="18">
        <f>D10*Assumptions!$B$21</f>
        <v/>
      </c>
      <c r="G10" s="19">
        <f>E10-F10</f>
        <v/>
      </c>
      <c r="H10" s="18">
        <f>Assumptions!$B$24+Assumptions!$B$25</f>
        <v/>
      </c>
      <c r="I10" s="19">
        <f>G10-H10</f>
        <v/>
      </c>
      <c r="J10" s="19">
        <f>I10+J9</f>
        <v/>
      </c>
    </row>
    <row r="11">
      <c r="A11" s="5" t="inlineStr">
        <is>
          <t>Feb-27</t>
        </is>
      </c>
      <c r="B11" s="16" t="n">
        <v>3</v>
      </c>
      <c r="C11" s="17">
        <f>ROUND(D10*Assumptions!$B$28,0)</f>
        <v/>
      </c>
      <c r="D11" s="17">
        <f>D10+B11-C11</f>
        <v/>
      </c>
      <c r="E11" s="18">
        <f>D11*Assumptions!$B$16</f>
        <v/>
      </c>
      <c r="F11" s="18">
        <f>D11*Assumptions!$B$21</f>
        <v/>
      </c>
      <c r="G11" s="19">
        <f>E11-F11</f>
        <v/>
      </c>
      <c r="H11" s="18">
        <f>Assumptions!$B$24+Assumptions!$B$25</f>
        <v/>
      </c>
      <c r="I11" s="19">
        <f>G11-H11</f>
        <v/>
      </c>
      <c r="J11" s="19">
        <f>I11+J10</f>
        <v/>
      </c>
    </row>
    <row r="12">
      <c r="A12" s="5" t="inlineStr">
        <is>
          <t>Mar-27</t>
        </is>
      </c>
      <c r="B12" s="16" t="n">
        <v>4</v>
      </c>
      <c r="C12" s="17">
        <f>ROUND(D11*Assumptions!$B$28,0)</f>
        <v/>
      </c>
      <c r="D12" s="17">
        <f>D11+B12-C12</f>
        <v/>
      </c>
      <c r="E12" s="18">
        <f>D12*Assumptions!$B$16</f>
        <v/>
      </c>
      <c r="F12" s="18">
        <f>D12*Assumptions!$B$21</f>
        <v/>
      </c>
      <c r="G12" s="19">
        <f>E12-F12</f>
        <v/>
      </c>
      <c r="H12" s="18">
        <f>Assumptions!$B$24+Assumptions!$B$25</f>
        <v/>
      </c>
      <c r="I12" s="19">
        <f>G12-H12</f>
        <v/>
      </c>
      <c r="J12" s="19">
        <f>I12+J11</f>
        <v/>
      </c>
    </row>
    <row r="13">
      <c r="A13" s="5" t="inlineStr">
        <is>
          <t>Apr-27</t>
        </is>
      </c>
      <c r="B13" s="16" t="n">
        <v>4</v>
      </c>
      <c r="C13" s="17">
        <f>ROUND(D12*Assumptions!$B$28,0)</f>
        <v/>
      </c>
      <c r="D13" s="17">
        <f>D12+B13-C13</f>
        <v/>
      </c>
      <c r="E13" s="18">
        <f>D13*Assumptions!$B$16</f>
        <v/>
      </c>
      <c r="F13" s="18">
        <f>D13*Assumptions!$B$21</f>
        <v/>
      </c>
      <c r="G13" s="19">
        <f>E13-F13</f>
        <v/>
      </c>
      <c r="H13" s="18">
        <f>Assumptions!$B$24+Assumptions!$B$25</f>
        <v/>
      </c>
      <c r="I13" s="19">
        <f>G13-H13</f>
        <v/>
      </c>
      <c r="J13" s="19">
        <f>I13+J12</f>
        <v/>
      </c>
    </row>
    <row r="14">
      <c r="A14" s="5" t="inlineStr">
        <is>
          <t>May-27</t>
        </is>
      </c>
      <c r="B14" s="16" t="n">
        <v>4</v>
      </c>
      <c r="C14" s="17">
        <f>ROUND(D13*Assumptions!$B$28,0)</f>
        <v/>
      </c>
      <c r="D14" s="17">
        <f>D13+B14-C14</f>
        <v/>
      </c>
      <c r="E14" s="18">
        <f>D14*Assumptions!$B$16</f>
        <v/>
      </c>
      <c r="F14" s="18">
        <f>D14*Assumptions!$B$21</f>
        <v/>
      </c>
      <c r="G14" s="19">
        <f>E14-F14</f>
        <v/>
      </c>
      <c r="H14" s="18">
        <f>Assumptions!$B$24+Assumptions!$B$25</f>
        <v/>
      </c>
      <c r="I14" s="19">
        <f>G14-H14</f>
        <v/>
      </c>
      <c r="J14" s="19">
        <f>I14+J13</f>
        <v/>
      </c>
    </row>
    <row r="15">
      <c r="A15" s="5" t="inlineStr">
        <is>
          <t>Jun-27</t>
        </is>
      </c>
      <c r="B15" s="16" t="n">
        <v>5</v>
      </c>
      <c r="C15" s="17">
        <f>ROUND(D14*Assumptions!$B$28,0)</f>
        <v/>
      </c>
      <c r="D15" s="17">
        <f>D14+B15-C15</f>
        <v/>
      </c>
      <c r="E15" s="18">
        <f>D15*Assumptions!$B$16</f>
        <v/>
      </c>
      <c r="F15" s="18">
        <f>D15*Assumptions!$B$21</f>
        <v/>
      </c>
      <c r="G15" s="19">
        <f>E15-F15</f>
        <v/>
      </c>
      <c r="H15" s="18">
        <f>Assumptions!$B$24+Assumptions!$B$25</f>
        <v/>
      </c>
      <c r="I15" s="19">
        <f>G15-H15</f>
        <v/>
      </c>
      <c r="J15" s="19">
        <f>I15+J14</f>
        <v/>
      </c>
    </row>
    <row r="16">
      <c r="A16" s="5" t="inlineStr">
        <is>
          <t>Jul-27</t>
        </is>
      </c>
      <c r="B16" s="16" t="n">
        <v>5</v>
      </c>
      <c r="C16" s="17">
        <f>ROUND(D15*Assumptions!$B$28,0)</f>
        <v/>
      </c>
      <c r="D16" s="17">
        <f>D15+B16-C16</f>
        <v/>
      </c>
      <c r="E16" s="18">
        <f>D16*Assumptions!$B$16</f>
        <v/>
      </c>
      <c r="F16" s="18">
        <f>D16*Assumptions!$B$21</f>
        <v/>
      </c>
      <c r="G16" s="19">
        <f>E16-F16</f>
        <v/>
      </c>
      <c r="H16" s="18">
        <f>Assumptions!$B$24+Assumptions!$B$25</f>
        <v/>
      </c>
      <c r="I16" s="19">
        <f>G16-H16</f>
        <v/>
      </c>
      <c r="J16" s="19">
        <f>I16+J15</f>
        <v/>
      </c>
    </row>
    <row r="17">
      <c r="A17" s="5" t="inlineStr">
        <is>
          <t>Aug-27</t>
        </is>
      </c>
      <c r="B17" s="16" t="n">
        <v>5</v>
      </c>
      <c r="C17" s="17">
        <f>ROUND(D16*Assumptions!$B$28,0)</f>
        <v/>
      </c>
      <c r="D17" s="17">
        <f>D16+B17-C17</f>
        <v/>
      </c>
      <c r="E17" s="18">
        <f>D17*Assumptions!$B$16</f>
        <v/>
      </c>
      <c r="F17" s="18">
        <f>D17*Assumptions!$B$21</f>
        <v/>
      </c>
      <c r="G17" s="19">
        <f>E17-F17</f>
        <v/>
      </c>
      <c r="H17" s="18">
        <f>Assumptions!$B$24+Assumptions!$B$25</f>
        <v/>
      </c>
      <c r="I17" s="19">
        <f>G17-H17</f>
        <v/>
      </c>
      <c r="J17" s="19">
        <f>I17+J16</f>
        <v/>
      </c>
    </row>
    <row r="18">
      <c r="A18" s="5" t="inlineStr">
        <is>
          <t>Sep-27</t>
        </is>
      </c>
      <c r="B18" s="16" t="n">
        <v>5</v>
      </c>
      <c r="C18" s="17">
        <f>ROUND(D17*Assumptions!$B$28,0)</f>
        <v/>
      </c>
      <c r="D18" s="17">
        <f>D17+B18-C18</f>
        <v/>
      </c>
      <c r="E18" s="18">
        <f>D18*Assumptions!$B$16</f>
        <v/>
      </c>
      <c r="F18" s="18">
        <f>D18*Assumptions!$B$21</f>
        <v/>
      </c>
      <c r="G18" s="19">
        <f>E18-F18</f>
        <v/>
      </c>
      <c r="H18" s="18">
        <f>Assumptions!$B$24+Assumptions!$B$25</f>
        <v/>
      </c>
      <c r="I18" s="19">
        <f>G18-H18</f>
        <v/>
      </c>
      <c r="J18" s="19">
        <f>I18+J17</f>
        <v/>
      </c>
    </row>
    <row r="19">
      <c r="A19" s="5" t="inlineStr">
        <is>
          <t>Oct-27</t>
        </is>
      </c>
      <c r="B19" s="16" t="n">
        <v>6</v>
      </c>
      <c r="C19" s="17">
        <f>ROUND(D18*Assumptions!$B$28,0)</f>
        <v/>
      </c>
      <c r="D19" s="17">
        <f>D18+B19-C19</f>
        <v/>
      </c>
      <c r="E19" s="18">
        <f>D19*Assumptions!$B$16</f>
        <v/>
      </c>
      <c r="F19" s="18">
        <f>D19*Assumptions!$B$21</f>
        <v/>
      </c>
      <c r="G19" s="19">
        <f>E19-F19</f>
        <v/>
      </c>
      <c r="H19" s="18">
        <f>Assumptions!$B$24+Assumptions!$B$25</f>
        <v/>
      </c>
      <c r="I19" s="19">
        <f>G19-H19</f>
        <v/>
      </c>
      <c r="J19" s="19">
        <f>I19+J18</f>
        <v/>
      </c>
    </row>
    <row r="20">
      <c r="A20" s="5" t="inlineStr">
        <is>
          <t>Nov-27</t>
        </is>
      </c>
      <c r="B20" s="16" t="n">
        <v>6</v>
      </c>
      <c r="C20" s="17">
        <f>ROUND(D19*Assumptions!$B$28,0)</f>
        <v/>
      </c>
      <c r="D20" s="17">
        <f>D19+B20-C20</f>
        <v/>
      </c>
      <c r="E20" s="18">
        <f>D20*Assumptions!$B$16</f>
        <v/>
      </c>
      <c r="F20" s="18">
        <f>D20*Assumptions!$B$21</f>
        <v/>
      </c>
      <c r="G20" s="19">
        <f>E20-F20</f>
        <v/>
      </c>
      <c r="H20" s="18">
        <f>Assumptions!$B$24+Assumptions!$B$25</f>
        <v/>
      </c>
      <c r="I20" s="19">
        <f>G20-H20</f>
        <v/>
      </c>
      <c r="J20" s="19">
        <f>I20+J19</f>
        <v/>
      </c>
    </row>
    <row r="21">
      <c r="A21" s="20" t="inlineStr">
        <is>
          <t>Dec-27</t>
        </is>
      </c>
      <c r="B21" s="21" t="n">
        <v>6</v>
      </c>
      <c r="C21" s="22">
        <f>ROUND(D20*Assumptions!$B$28,0)</f>
        <v/>
      </c>
      <c r="D21" s="22">
        <f>D20+B21-C21</f>
        <v/>
      </c>
      <c r="E21" s="23">
        <f>D21*Assumptions!$B$16</f>
        <v/>
      </c>
      <c r="F21" s="23">
        <f>D21*Assumptions!$B$21</f>
        <v/>
      </c>
      <c r="G21" s="24">
        <f>E21-F21</f>
        <v/>
      </c>
      <c r="H21" s="23">
        <f>Assumptions!$B$24+Assumptions!$B$25</f>
        <v/>
      </c>
      <c r="I21" s="24">
        <f>G21-H21</f>
        <v/>
      </c>
      <c r="J21" s="24">
        <f>I21+J20</f>
        <v/>
      </c>
    </row>
    <row r="22">
      <c r="A22" s="5" t="inlineStr">
        <is>
          <t>Jan-28</t>
        </is>
      </c>
      <c r="B22" s="16" t="n">
        <v>6</v>
      </c>
      <c r="C22" s="17">
        <f>ROUND(D21*Assumptions!$B$28,0)</f>
        <v/>
      </c>
      <c r="D22" s="17">
        <f>D21+B22-C22</f>
        <v/>
      </c>
      <c r="E22" s="18">
        <f>D22*Assumptions!$B$16</f>
        <v/>
      </c>
      <c r="F22" s="18">
        <f>D22*Assumptions!$B$21</f>
        <v/>
      </c>
      <c r="G22" s="19">
        <f>E22-F22</f>
        <v/>
      </c>
      <c r="H22" s="18">
        <f>Assumptions!$B$24+Assumptions!$B$25</f>
        <v/>
      </c>
      <c r="I22" s="19">
        <f>G22-H22</f>
        <v/>
      </c>
      <c r="J22" s="19">
        <f>I22+J21</f>
        <v/>
      </c>
    </row>
    <row r="23">
      <c r="A23" s="5" t="inlineStr">
        <is>
          <t>Feb-28</t>
        </is>
      </c>
      <c r="B23" s="16" t="n">
        <v>7</v>
      </c>
      <c r="C23" s="17">
        <f>ROUND(D22*Assumptions!$B$28,0)</f>
        <v/>
      </c>
      <c r="D23" s="17">
        <f>D22+B23-C23</f>
        <v/>
      </c>
      <c r="E23" s="18">
        <f>D23*Assumptions!$B$16</f>
        <v/>
      </c>
      <c r="F23" s="18">
        <f>D23*Assumptions!$B$21</f>
        <v/>
      </c>
      <c r="G23" s="19">
        <f>E23-F23</f>
        <v/>
      </c>
      <c r="H23" s="18">
        <f>Assumptions!$B$24+Assumptions!$B$25</f>
        <v/>
      </c>
      <c r="I23" s="19">
        <f>G23-H23</f>
        <v/>
      </c>
      <c r="J23" s="19">
        <f>I23+J22</f>
        <v/>
      </c>
    </row>
    <row r="24">
      <c r="A24" s="5" t="inlineStr">
        <is>
          <t>Mar-28</t>
        </is>
      </c>
      <c r="B24" s="16" t="n">
        <v>7</v>
      </c>
      <c r="C24" s="17">
        <f>ROUND(D23*Assumptions!$B$28,0)</f>
        <v/>
      </c>
      <c r="D24" s="17">
        <f>D23+B24-C24</f>
        <v/>
      </c>
      <c r="E24" s="18">
        <f>D24*Assumptions!$B$16</f>
        <v/>
      </c>
      <c r="F24" s="18">
        <f>D24*Assumptions!$B$21</f>
        <v/>
      </c>
      <c r="G24" s="19">
        <f>E24-F24</f>
        <v/>
      </c>
      <c r="H24" s="18">
        <f>Assumptions!$B$24+Assumptions!$B$25</f>
        <v/>
      </c>
      <c r="I24" s="19">
        <f>G24-H24</f>
        <v/>
      </c>
      <c r="J24" s="19">
        <f>I24+J23</f>
        <v/>
      </c>
    </row>
    <row r="25">
      <c r="A25" s="5" t="inlineStr">
        <is>
          <t>Apr-28</t>
        </is>
      </c>
      <c r="B25" s="16" t="n">
        <v>7</v>
      </c>
      <c r="C25" s="17">
        <f>ROUND(D24*Assumptions!$B$28,0)</f>
        <v/>
      </c>
      <c r="D25" s="17">
        <f>D24+B25-C25</f>
        <v/>
      </c>
      <c r="E25" s="18">
        <f>D25*Assumptions!$B$16</f>
        <v/>
      </c>
      <c r="F25" s="18">
        <f>D25*Assumptions!$B$21</f>
        <v/>
      </c>
      <c r="G25" s="19">
        <f>E25-F25</f>
        <v/>
      </c>
      <c r="H25" s="18">
        <f>Assumptions!$B$24+Assumptions!$B$25</f>
        <v/>
      </c>
      <c r="I25" s="19">
        <f>G25-H25</f>
        <v/>
      </c>
      <c r="J25" s="19">
        <f>I25+J24</f>
        <v/>
      </c>
    </row>
    <row r="26">
      <c r="A26" s="5" t="inlineStr">
        <is>
          <t>May-28</t>
        </is>
      </c>
      <c r="B26" s="16" t="n">
        <v>7</v>
      </c>
      <c r="C26" s="17">
        <f>ROUND(D25*Assumptions!$B$28,0)</f>
        <v/>
      </c>
      <c r="D26" s="17">
        <f>D25+B26-C26</f>
        <v/>
      </c>
      <c r="E26" s="18">
        <f>D26*Assumptions!$B$16</f>
        <v/>
      </c>
      <c r="F26" s="18">
        <f>D26*Assumptions!$B$21</f>
        <v/>
      </c>
      <c r="G26" s="19">
        <f>E26-F26</f>
        <v/>
      </c>
      <c r="H26" s="18">
        <f>Assumptions!$B$24+Assumptions!$B$25</f>
        <v/>
      </c>
      <c r="I26" s="19">
        <f>G26-H26</f>
        <v/>
      </c>
      <c r="J26" s="19">
        <f>I26+J25</f>
        <v/>
      </c>
    </row>
    <row r="27">
      <c r="A27" s="5" t="inlineStr">
        <is>
          <t>Jun-28</t>
        </is>
      </c>
      <c r="B27" s="16" t="n">
        <v>8</v>
      </c>
      <c r="C27" s="17">
        <f>ROUND(D26*Assumptions!$B$28,0)</f>
        <v/>
      </c>
      <c r="D27" s="17">
        <f>D26+B27-C27</f>
        <v/>
      </c>
      <c r="E27" s="18">
        <f>D27*Assumptions!$B$16</f>
        <v/>
      </c>
      <c r="F27" s="18">
        <f>D27*Assumptions!$B$21</f>
        <v/>
      </c>
      <c r="G27" s="19">
        <f>E27-F27</f>
        <v/>
      </c>
      <c r="H27" s="18">
        <f>Assumptions!$B$24+Assumptions!$B$25</f>
        <v/>
      </c>
      <c r="I27" s="19">
        <f>G27-H27</f>
        <v/>
      </c>
      <c r="J27" s="19">
        <f>I27+J26</f>
        <v/>
      </c>
    </row>
    <row r="28">
      <c r="A28" s="5" t="inlineStr">
        <is>
          <t>Jul-28</t>
        </is>
      </c>
      <c r="B28" s="16" t="n">
        <v>8</v>
      </c>
      <c r="C28" s="17">
        <f>ROUND(D27*Assumptions!$B$28,0)</f>
        <v/>
      </c>
      <c r="D28" s="17">
        <f>D27+B28-C28</f>
        <v/>
      </c>
      <c r="E28" s="18">
        <f>D28*Assumptions!$B$16</f>
        <v/>
      </c>
      <c r="F28" s="18">
        <f>D28*Assumptions!$B$21</f>
        <v/>
      </c>
      <c r="G28" s="19">
        <f>E28-F28</f>
        <v/>
      </c>
      <c r="H28" s="18">
        <f>Assumptions!$B$24+Assumptions!$B$25</f>
        <v/>
      </c>
      <c r="I28" s="19">
        <f>G28-H28</f>
        <v/>
      </c>
      <c r="J28" s="19">
        <f>I28+J27</f>
        <v/>
      </c>
    </row>
    <row r="29">
      <c r="A29" s="5" t="inlineStr">
        <is>
          <t>Aug-28</t>
        </is>
      </c>
      <c r="B29" s="16" t="n">
        <v>8</v>
      </c>
      <c r="C29" s="17">
        <f>ROUND(D28*Assumptions!$B$28,0)</f>
        <v/>
      </c>
      <c r="D29" s="17">
        <f>D28+B29-C29</f>
        <v/>
      </c>
      <c r="E29" s="18">
        <f>D29*Assumptions!$B$16</f>
        <v/>
      </c>
      <c r="F29" s="18">
        <f>D29*Assumptions!$B$21</f>
        <v/>
      </c>
      <c r="G29" s="19">
        <f>E29-F29</f>
        <v/>
      </c>
      <c r="H29" s="18">
        <f>Assumptions!$B$24+Assumptions!$B$25</f>
        <v/>
      </c>
      <c r="I29" s="19">
        <f>G29-H29</f>
        <v/>
      </c>
      <c r="J29" s="19">
        <f>I29+J28</f>
        <v/>
      </c>
    </row>
    <row r="30">
      <c r="A30" s="5" t="inlineStr">
        <is>
          <t>Sep-28</t>
        </is>
      </c>
      <c r="B30" s="16" t="n">
        <v>8</v>
      </c>
      <c r="C30" s="17">
        <f>ROUND(D29*Assumptions!$B$28,0)</f>
        <v/>
      </c>
      <c r="D30" s="17">
        <f>D29+B30-C30</f>
        <v/>
      </c>
      <c r="E30" s="18">
        <f>D30*Assumptions!$B$16</f>
        <v/>
      </c>
      <c r="F30" s="18">
        <f>D30*Assumptions!$B$21</f>
        <v/>
      </c>
      <c r="G30" s="19">
        <f>E30-F30</f>
        <v/>
      </c>
      <c r="H30" s="18">
        <f>Assumptions!$B$24+Assumptions!$B$25</f>
        <v/>
      </c>
      <c r="I30" s="19">
        <f>G30-H30</f>
        <v/>
      </c>
      <c r="J30" s="19">
        <f>I30+J29</f>
        <v/>
      </c>
    </row>
    <row r="31">
      <c r="A31" s="5" t="inlineStr">
        <is>
          <t>Oct-28</t>
        </is>
      </c>
      <c r="B31" s="16" t="n">
        <v>8</v>
      </c>
      <c r="C31" s="17">
        <f>ROUND(D30*Assumptions!$B$28,0)</f>
        <v/>
      </c>
      <c r="D31" s="17">
        <f>D30+B31-C31</f>
        <v/>
      </c>
      <c r="E31" s="18">
        <f>D31*Assumptions!$B$16</f>
        <v/>
      </c>
      <c r="F31" s="18">
        <f>D31*Assumptions!$B$21</f>
        <v/>
      </c>
      <c r="G31" s="19">
        <f>E31-F31</f>
        <v/>
      </c>
      <c r="H31" s="18">
        <f>Assumptions!$B$24+Assumptions!$B$25</f>
        <v/>
      </c>
      <c r="I31" s="19">
        <f>G31-H31</f>
        <v/>
      </c>
      <c r="J31" s="19">
        <f>I31+J30</f>
        <v/>
      </c>
    </row>
    <row r="32">
      <c r="A32" s="5" t="inlineStr">
        <is>
          <t>Nov-28</t>
        </is>
      </c>
      <c r="B32" s="16" t="n">
        <v>8</v>
      </c>
      <c r="C32" s="17">
        <f>ROUND(D31*Assumptions!$B$28,0)</f>
        <v/>
      </c>
      <c r="D32" s="17">
        <f>D31+B32-C32</f>
        <v/>
      </c>
      <c r="E32" s="18">
        <f>D32*Assumptions!$B$16</f>
        <v/>
      </c>
      <c r="F32" s="18">
        <f>D32*Assumptions!$B$21</f>
        <v/>
      </c>
      <c r="G32" s="19">
        <f>E32-F32</f>
        <v/>
      </c>
      <c r="H32" s="18">
        <f>Assumptions!$B$24+Assumptions!$B$25</f>
        <v/>
      </c>
      <c r="I32" s="19">
        <f>G32-H32</f>
        <v/>
      </c>
      <c r="J32" s="19">
        <f>I32+J31</f>
        <v/>
      </c>
    </row>
    <row r="33">
      <c r="A33" s="20" t="inlineStr">
        <is>
          <t>Dec-28</t>
        </is>
      </c>
      <c r="B33" s="21" t="n">
        <v>8</v>
      </c>
      <c r="C33" s="22">
        <f>ROUND(D32*Assumptions!$B$28,0)</f>
        <v/>
      </c>
      <c r="D33" s="22">
        <f>D32+B33-C33</f>
        <v/>
      </c>
      <c r="E33" s="23">
        <f>D33*Assumptions!$B$16</f>
        <v/>
      </c>
      <c r="F33" s="23">
        <f>D33*Assumptions!$B$21</f>
        <v/>
      </c>
      <c r="G33" s="24">
        <f>E33-F33</f>
        <v/>
      </c>
      <c r="H33" s="23">
        <f>Assumptions!$B$24+Assumptions!$B$25</f>
        <v/>
      </c>
      <c r="I33" s="24">
        <f>G33-H33</f>
        <v/>
      </c>
      <c r="J33" s="24">
        <f>I33+J32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Annual Summary &amp; Scenarios</t>
        </is>
      </c>
    </row>
    <row r="3">
      <c r="A3" s="25" t="inlineStr"/>
      <c r="B3" s="25" t="inlineStr">
        <is>
          <t>2026 (H2)</t>
        </is>
      </c>
      <c r="C3" s="25" t="inlineStr">
        <is>
          <t>2027</t>
        </is>
      </c>
      <c r="D3" s="25" t="inlineStr">
        <is>
          <t>2028</t>
        </is>
      </c>
    </row>
    <row r="4">
      <c r="A4" s="5" t="inlineStr">
        <is>
          <t>New customers added</t>
        </is>
      </c>
      <c r="B4" s="26">
        <f>SUM('Monthly Model'!B4:B9)</f>
        <v/>
      </c>
      <c r="C4" s="26">
        <f>SUM('Monthly Model'!B10:B21)</f>
        <v/>
      </c>
      <c r="D4" s="26">
        <f>SUM('Monthly Model'!B22:B33)</f>
        <v/>
      </c>
    </row>
    <row r="5">
      <c r="A5" s="10" t="inlineStr">
        <is>
          <t>Revenue</t>
        </is>
      </c>
      <c r="B5" s="27">
        <f>SUM('Monthly Model'!E4:E9)</f>
        <v/>
      </c>
      <c r="C5" s="27">
        <f>SUM('Monthly Model'!E10:E21)</f>
        <v/>
      </c>
      <c r="D5" s="27">
        <f>SUM('Monthly Model'!E22:E33)</f>
        <v/>
      </c>
    </row>
    <row r="6">
      <c r="A6" s="5" t="inlineStr">
        <is>
          <t>API cost</t>
        </is>
      </c>
      <c r="B6" s="18">
        <f>SUM('Monthly Model'!F4:F9)</f>
        <v/>
      </c>
      <c r="C6" s="18">
        <f>SUM('Monthly Model'!F10:F21)</f>
        <v/>
      </c>
      <c r="D6" s="18">
        <f>SUM('Monthly Model'!F22:F33)</f>
        <v/>
      </c>
    </row>
    <row r="7">
      <c r="A7" s="5" t="inlineStr">
        <is>
          <t>Gross profit</t>
        </is>
      </c>
      <c r="B7" s="18">
        <f>SUM('Monthly Model'!G4:G9)</f>
        <v/>
      </c>
      <c r="C7" s="18">
        <f>SUM('Monthly Model'!G10:G21)</f>
        <v/>
      </c>
      <c r="D7" s="18">
        <f>SUM('Monthly Model'!G22:G33)</f>
        <v/>
      </c>
    </row>
    <row r="8">
      <c r="A8" s="5" t="inlineStr">
        <is>
          <t>Operating costs</t>
        </is>
      </c>
      <c r="B8" s="18">
        <f>SUM('Monthly Model'!H4:H9)</f>
        <v/>
      </c>
      <c r="C8" s="18">
        <f>SUM('Monthly Model'!H10:H21)</f>
        <v/>
      </c>
      <c r="D8" s="18">
        <f>SUM('Monthly Model'!H22:H33)</f>
        <v/>
      </c>
    </row>
    <row r="9">
      <c r="A9" s="10" t="inlineStr">
        <is>
          <t>Net cash flow</t>
        </is>
      </c>
      <c r="B9" s="27">
        <f>SUM('Monthly Model'!I4:I9)</f>
        <v/>
      </c>
      <c r="C9" s="27">
        <f>SUM('Monthly Model'!I10:I21)</f>
        <v/>
      </c>
      <c r="D9" s="27">
        <f>SUM('Monthly Model'!I22:I33)</f>
        <v/>
      </c>
    </row>
    <row r="10">
      <c r="A10" s="5" t="inlineStr">
        <is>
          <t>Ending customers (year-end)</t>
        </is>
      </c>
      <c r="B10" s="26">
        <f>'Monthly Model'!D9</f>
        <v/>
      </c>
      <c r="C10" s="26">
        <f>'Monthly Model'!D21</f>
        <v/>
      </c>
      <c r="D10" s="26">
        <f>'Monthly Model'!D33</f>
        <v/>
      </c>
    </row>
    <row r="11">
      <c r="A11" s="10" t="inlineStr">
        <is>
          <t>ARR run-rate (year-end, $)</t>
        </is>
      </c>
      <c r="B11" s="27">
        <f>'Monthly Model'!E9*12</f>
        <v/>
      </c>
      <c r="C11" s="27">
        <f>'Monthly Model'!E21*12</f>
        <v/>
      </c>
      <c r="D11" s="27">
        <f>'Monthly Model'!E33*12</f>
        <v/>
      </c>
    </row>
    <row r="12">
      <c r="A12" s="5" t="inlineStr">
        <is>
          <t>Gross margin %</t>
        </is>
      </c>
      <c r="B12" s="28">
        <f>(B5-B6)/B5</f>
        <v/>
      </c>
      <c r="C12" s="28">
        <f>(C5-C6)/C5</f>
        <v/>
      </c>
      <c r="D12" s="28">
        <f>(D5-D6)/D5</f>
        <v/>
      </c>
    </row>
    <row r="14">
      <c r="A14" s="3" t="inlineStr">
        <is>
          <t>SCENARIO SENSITIVITY — 2027 revenue</t>
        </is>
      </c>
      <c r="B14" s="4" t="n"/>
      <c r="C14" s="4" t="n"/>
      <c r="D14" s="4" t="n"/>
    </row>
    <row r="15">
      <c r="A15" s="2" t="inlineStr">
        <is>
          <t>Customer acquisition vs. base plan</t>
        </is>
      </c>
    </row>
    <row r="16">
      <c r="A16" s="10" t="inlineStr">
        <is>
          <t>Scenario</t>
        </is>
      </c>
      <c r="B16" s="10" t="inlineStr">
        <is>
          <t>Multiplier</t>
        </is>
      </c>
      <c r="C16" s="10" t="inlineStr">
        <is>
          <t>2027 Revenue</t>
        </is>
      </c>
      <c r="D16" s="10" t="inlineStr">
        <is>
          <t>2027 Net Cash</t>
        </is>
      </c>
    </row>
    <row r="17">
      <c r="A17" s="5" t="inlineStr">
        <is>
          <t>Conservative (60% of plan)</t>
        </is>
      </c>
      <c r="B17" s="29" t="n">
        <v>0.6</v>
      </c>
      <c r="C17" s="19">
        <f>$C$5*B17</f>
        <v/>
      </c>
      <c r="D17" s="19">
        <f>$C$9*B17</f>
        <v/>
      </c>
    </row>
    <row r="18">
      <c r="A18" s="5" t="inlineStr">
        <is>
          <t>Base plan</t>
        </is>
      </c>
      <c r="B18" s="29" t="n">
        <v>1</v>
      </c>
      <c r="C18" s="19">
        <f>$C$5*B18</f>
        <v/>
      </c>
      <c r="D18" s="19">
        <f>$C$9*B18</f>
        <v/>
      </c>
    </row>
    <row r="19">
      <c r="A19" s="5" t="inlineStr">
        <is>
          <t>Aggressive (160% of plan)</t>
        </is>
      </c>
      <c r="B19" s="29" t="n">
        <v>1.6</v>
      </c>
      <c r="C19" s="19">
        <f>$C$5*B19</f>
        <v/>
      </c>
      <c r="D19" s="19">
        <f>$C$9*B19</f>
        <v/>
      </c>
    </row>
    <row r="21">
      <c r="A21" s="30" t="inlineStr">
        <is>
          <t>HOW TO USE: change any blue/yellow cell. The main lever is the 'New Customers' column on the Monthly Model tab,</t>
        </is>
      </c>
    </row>
    <row r="22">
      <c r="A22" s="30" t="inlineStr">
        <is>
          <t>and pricing/mix/churn on the Assumptions tab. Everything else recalculates.</t>
        </is>
      </c>
    </row>
    <row r="23">
      <c r="A23" s="30" t="inlineStr"/>
    </row>
    <row r="24">
      <c r="A24" s="30" t="inlineStr">
        <is>
          <t>READING IT: Revenue is ~98% gross margin because each audit costs pennies (one cheap extraction call).</t>
        </is>
      </c>
    </row>
    <row r="25">
      <c r="A25" s="30" t="inlineStr">
        <is>
          <t>The real constraint is NOT money — it's customer acquisition and your time. Founder draw is set to $0;</t>
        </is>
      </c>
    </row>
    <row r="26">
      <c r="A26" s="30" t="inlineStr">
        <is>
          <t>raise it on the Assumptions tab to model paying yourself.</t>
        </is>
      </c>
    </row>
    <row r="27">
      <c r="A27" s="30" t="inlineStr"/>
    </row>
    <row r="28">
      <c r="A28" s="30" t="inlineStr">
        <is>
          <t>Base case: ~$7k revenue in H2 2026, ~$125k in 2027 (exit ~$17k MRR / ~$210k ARR run-rate), scaling through 2028.</t>
        </is>
      </c>
    </row>
    <row r="29">
      <c r="A29" s="30" t="inlineStr">
        <is>
          <t>These are STARTING ASSUMPTIONS to validate with real customers — not a forecast. Reality will be lumpier.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2026-06-02T15:09:26Z</dcterms:created>
  <dcterms:modified xmlns:dcterms="http://purl.org/dc/terms/" xmlns:xsi="http://www.w3.org/2001/XMLSchema-instance" xsi:type="dcterms:W3CDTF">2026-06-02T15:10:14Z</dcterms:modified>
</cp:coreProperties>
</file>
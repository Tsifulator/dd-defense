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Where to find them" sheetId="2" state="visible" r:id="rId2"/>
    <sheet xmlns:r="http://schemas.openxmlformats.org/officeDocument/2006/relationships" name="Email scr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color rgb="00999999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color rgb="0055555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9F7E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2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8" customWidth="1" min="3" max="3"/>
    <col width="16" customWidth="1" min="4" max="4"/>
    <col width="24" customWidth="1" min="5" max="5"/>
    <col width="15" customWidth="1" min="6" max="6"/>
    <col width="26" customWidth="1" min="7" max="7"/>
    <col width="18" customWidth="1" min="8" max="8"/>
    <col width="14" customWidth="1" min="9" max="9"/>
    <col width="9" customWidth="1" min="10" max="10"/>
    <col width="16" customWidth="1" min="11" max="11"/>
    <col width="15" customWidth="1" min="12" max="12"/>
    <col width="13" customWidth="1" min="13" max="13"/>
    <col width="24" customWidth="1" min="14" max="14"/>
    <col width="34" customWidth="1" min="15" max="15"/>
  </cols>
  <sheetData>
    <row r="1">
      <c r="A1" s="1" t="inlineStr">
        <is>
          <t>D&amp;D Defense — Prospect Tracker</t>
        </is>
      </c>
    </row>
    <row r="2">
      <c r="A2" s="2" t="inlineStr">
        <is>
          <t>Fill the BLUE columns as you scrape. STATUS + NEXT ACTION drive your daily work. Designed to export to Airtable later.</t>
        </is>
      </c>
    </row>
    <row r="4" ht="30" customHeight="1">
      <c r="A4" s="3" t="inlineStr">
        <is>
          <t>Company</t>
        </is>
      </c>
      <c r="B4" s="3" t="inlineStr">
        <is>
          <t>Type</t>
        </is>
      </c>
      <c r="C4" s="3" t="inlineStr">
        <is>
          <t>Contact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Phone</t>
        </is>
      </c>
      <c r="G4" s="3" t="inlineStr">
        <is>
          <t>LinkedIn / URL</t>
        </is>
      </c>
      <c r="H4" s="3" t="inlineStr">
        <is>
          <t>Location / Port</t>
        </is>
      </c>
      <c r="I4" s="3" t="inlineStr">
        <is>
          <t>Est. containers/mo</t>
        </is>
      </c>
      <c r="J4" s="3" t="inlineStr">
        <is>
          <t>Fit score</t>
        </is>
      </c>
      <c r="K4" s="3" t="inlineStr">
        <is>
          <t>Source</t>
        </is>
      </c>
      <c r="L4" s="3" t="inlineStr">
        <is>
          <t>Status</t>
        </is>
      </c>
      <c r="M4" s="3" t="inlineStr">
        <is>
          <t>Last contact</t>
        </is>
      </c>
      <c r="N4" s="3" t="inlineStr">
        <is>
          <t>Next action</t>
        </is>
      </c>
      <c r="O4" s="3" t="inlineStr">
        <is>
          <t>Notes</t>
        </is>
      </c>
    </row>
    <row r="5">
      <c r="A5" s="4" t="inlineStr">
        <is>
          <t>(example) Harbor Freight Forwarding</t>
        </is>
      </c>
      <c r="B5" s="4" t="inlineStr">
        <is>
          <t>Forwarder</t>
        </is>
      </c>
      <c r="C5" s="4" t="inlineStr">
        <is>
          <t>Maria Lopez</t>
        </is>
      </c>
      <c r="D5" s="4" t="inlineStr">
        <is>
          <t>Ops Manager</t>
        </is>
      </c>
      <c r="E5" s="4" t="inlineStr">
        <is>
          <t>mlopez@example.com</t>
        </is>
      </c>
      <c r="F5" s="4" t="n"/>
      <c r="G5" s="4" t="inlineStr">
        <is>
          <t>linkedin.com/in/…</t>
        </is>
      </c>
      <c r="H5" s="4" t="inlineStr">
        <is>
          <t>Los Angeles / LB</t>
        </is>
      </c>
      <c r="I5" s="4" t="n">
        <v>120</v>
      </c>
      <c r="J5" s="5">
        <f>IF(I5="","",MIN(100,ROUND(I5/3,0)+IF(B5="Forwarder",30,IF(B5="Broker",20,10))))</f>
        <v/>
      </c>
      <c r="K5" s="4" t="inlineStr">
        <is>
          <t>LinkedIn</t>
        </is>
      </c>
      <c r="L5" s="4" t="inlineStr">
        <is>
          <t>To contact</t>
        </is>
      </c>
      <c r="M5" s="4" t="n"/>
      <c r="N5" s="4" t="inlineStr">
        <is>
          <t>Send intro email</t>
        </is>
      </c>
      <c r="O5" s="4" t="inlineStr">
        <is>
          <t>Perishables, lots of reefer</t>
        </is>
      </c>
    </row>
    <row r="6">
      <c r="A6" s="4" t="inlineStr">
        <is>
          <t>(example) FreshPort Imports</t>
        </is>
      </c>
      <c r="B6" s="4" t="inlineStr">
        <is>
          <t>Importer</t>
        </is>
      </c>
      <c r="C6" s="4" t="n"/>
      <c r="D6" s="4" t="n"/>
      <c r="E6" s="4" t="n"/>
      <c r="F6" s="4" t="n"/>
      <c r="G6" s="4" t="inlineStr">
        <is>
          <t>example.com</t>
        </is>
      </c>
      <c r="H6" s="4" t="inlineStr">
        <is>
          <t>Newark</t>
        </is>
      </c>
      <c r="I6" s="4" t="n">
        <v>60</v>
      </c>
      <c r="J6" s="5">
        <f>IF(I6="","",MIN(100,ROUND(I6/3,0)+IF(B6="Forwarder",30,IF(B6="Broker",20,10))))</f>
        <v/>
      </c>
      <c r="K6" s="4" t="inlineStr">
        <is>
          <t>Referral</t>
        </is>
      </c>
      <c r="L6" s="4" t="inlineStr">
        <is>
          <t>Researching</t>
        </is>
      </c>
      <c r="M6" s="4" t="n"/>
      <c r="N6" s="4" t="inlineStr">
        <is>
          <t>Find ops contact</t>
        </is>
      </c>
      <c r="O6" s="4" t="inlineStr">
        <is>
          <t>Produce importer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7">
        <f>IF(I7="","",MIN(100,ROUND(I7/3,0)+IF(B7="Forwarder",30,IF(B7="Broker",20,10))))</f>
        <v/>
      </c>
      <c r="K7" s="6" t="n"/>
      <c r="L7" s="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>
        <f>IF(I8="","",MIN(100,ROUND(I8/3,0)+IF(B8="Forwarder",30,IF(B8="Broker",20,10))))</f>
        <v/>
      </c>
      <c r="K8" s="6" t="n"/>
      <c r="L8" s="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7">
        <f>IF(I9="","",MIN(100,ROUND(I9/3,0)+IF(B9="Forwarder",30,IF(B9="Broker",20,10))))</f>
        <v/>
      </c>
      <c r="K9" s="6" t="n"/>
      <c r="L9" s="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>
        <f>IF(I10="","",MIN(100,ROUND(I10/3,0)+IF(B10="Forwarder",30,IF(B10="Broker",20,10))))</f>
        <v/>
      </c>
      <c r="K10" s="6" t="n"/>
      <c r="L10" s="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7">
        <f>IF(I11="","",MIN(100,ROUND(I11/3,0)+IF(B11="Forwarder",30,IF(B11="Broker",20,10))))</f>
        <v/>
      </c>
      <c r="K11" s="6" t="n"/>
      <c r="L11" s="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>
        <f>IF(I12="","",MIN(100,ROUND(I12/3,0)+IF(B12="Forwarder",30,IF(B12="Broker",20,10))))</f>
        <v/>
      </c>
      <c r="K12" s="6" t="n"/>
      <c r="L12" s="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>
        <f>IF(I13="","",MIN(100,ROUND(I13/3,0)+IF(B13="Forwarder",30,IF(B13="Broker",20,10))))</f>
        <v/>
      </c>
      <c r="K13" s="6" t="n"/>
      <c r="L13" s="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>
        <f>IF(I14="","",MIN(100,ROUND(I14/3,0)+IF(B14="Forwarder",30,IF(B14="Broker",20,10))))</f>
        <v/>
      </c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>
        <f>IF(I15="","",MIN(100,ROUND(I15/3,0)+IF(B15="Forwarder",30,IF(B15="Broker",20,10))))</f>
        <v/>
      </c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>
        <f>IF(I16="","",MIN(100,ROUND(I16/3,0)+IF(B16="Forwarder",30,IF(B16="Broker",20,10))))</f>
        <v/>
      </c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7">
        <f>IF(I17="","",MIN(100,ROUND(I17/3,0)+IF(B17="Forwarder",30,IF(B17="Broker",20,10))))</f>
        <v/>
      </c>
      <c r="K17" s="6" t="n"/>
      <c r="L17" s="6" t="n"/>
      <c r="M17" s="6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7">
        <f>IF(I18="","",MIN(100,ROUND(I18/3,0)+IF(B18="Forwarder",30,IF(B18="Broker",20,10))))</f>
        <v/>
      </c>
      <c r="K18" s="6" t="n"/>
      <c r="L18" s="6" t="n"/>
      <c r="M18" s="6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7">
        <f>IF(I19="","",MIN(100,ROUND(I19/3,0)+IF(B19="Forwarder",30,IF(B19="Broker",20,10))))</f>
        <v/>
      </c>
      <c r="K19" s="6" t="n"/>
      <c r="L19" s="6" t="n"/>
      <c r="M19" s="6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>
        <f>IF(I20="","",MIN(100,ROUND(I20/3,0)+IF(B20="Forwarder",30,IF(B20="Broker",20,10))))</f>
        <v/>
      </c>
      <c r="K20" s="6" t="n"/>
      <c r="L20" s="6" t="n"/>
      <c r="M20" s="6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>
        <f>IF(I21="","",MIN(100,ROUND(I21/3,0)+IF(B21="Forwarder",30,IF(B21="Broker",20,10))))</f>
        <v/>
      </c>
      <c r="K21" s="6" t="n"/>
      <c r="L21" s="6" t="n"/>
      <c r="M21" s="6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>
        <f>IF(I22="","",MIN(100,ROUND(I22/3,0)+IF(B22="Forwarder",30,IF(B22="Broker",20,10))))</f>
        <v/>
      </c>
      <c r="K22" s="6" t="n"/>
      <c r="L22" s="6" t="n"/>
      <c r="M22" s="6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7">
        <f>IF(I23="","",MIN(100,ROUND(I23/3,0)+IF(B23="Forwarder",30,IF(B23="Broker",20,10))))</f>
        <v/>
      </c>
      <c r="K23" s="6" t="n"/>
      <c r="L23" s="6" t="n"/>
      <c r="M23" s="6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7">
        <f>IF(I24="","",MIN(100,ROUND(I24/3,0)+IF(B24="Forwarder",30,IF(B24="Broker",20,10))))</f>
        <v/>
      </c>
      <c r="K24" s="6" t="n"/>
      <c r="L24" s="6" t="n"/>
      <c r="M24" s="6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7">
        <f>IF(I25="","",MIN(100,ROUND(I25/3,0)+IF(B25="Forwarder",30,IF(B25="Broker",20,10))))</f>
        <v/>
      </c>
      <c r="K25" s="6" t="n"/>
      <c r="L25" s="6" t="n"/>
      <c r="M25" s="6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>
        <f>IF(I26="","",MIN(100,ROUND(I26/3,0)+IF(B26="Forwarder",30,IF(B26="Broker",20,10))))</f>
        <v/>
      </c>
      <c r="K26" s="6" t="n"/>
      <c r="L26" s="6" t="n"/>
      <c r="M26" s="6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>
        <f>IF(I27="","",MIN(100,ROUND(I27/3,0)+IF(B27="Forwarder",30,IF(B27="Broker",20,10))))</f>
        <v/>
      </c>
      <c r="K27" s="6" t="n"/>
      <c r="L27" s="6" t="n"/>
      <c r="M27" s="6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>
        <f>IF(I28="","",MIN(100,ROUND(I28/3,0)+IF(B28="Forwarder",30,IF(B28="Broker",20,10))))</f>
        <v/>
      </c>
      <c r="K28" s="6" t="n"/>
      <c r="L28" s="6" t="n"/>
      <c r="M28" s="6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7">
        <f>IF(I29="","",MIN(100,ROUND(I29/3,0)+IF(B29="Forwarder",30,IF(B29="Broker",20,10))))</f>
        <v/>
      </c>
      <c r="K29" s="6" t="n"/>
      <c r="L29" s="6" t="n"/>
      <c r="M29" s="6" t="n"/>
      <c r="N29" s="6" t="n"/>
      <c r="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7">
        <f>IF(I30="","",MIN(100,ROUND(I30/3,0)+IF(B30="Forwarder",30,IF(B30="Broker",20,10))))</f>
        <v/>
      </c>
      <c r="K30" s="6" t="n"/>
      <c r="L30" s="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7">
        <f>IF(I31="","",MIN(100,ROUND(I31/3,0)+IF(B31="Forwarder",30,IF(B31="Broker",20,10))))</f>
        <v/>
      </c>
      <c r="K31" s="6" t="n"/>
      <c r="L31" s="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>
        <f>IF(I32="","",MIN(100,ROUND(I32/3,0)+IF(B32="Forwarder",30,IF(B32="Broker",20,10))))</f>
        <v/>
      </c>
      <c r="K32" s="6" t="n"/>
      <c r="L32" s="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>
        <f>IF(I33="","",MIN(100,ROUND(I33/3,0)+IF(B33="Forwarder",30,IF(B33="Broker",20,10))))</f>
        <v/>
      </c>
      <c r="K33" s="6" t="n"/>
      <c r="L33" s="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>
        <f>IF(I34="","",MIN(100,ROUND(I34/3,0)+IF(B34="Forwarder",30,IF(B34="Broker",20,10))))</f>
        <v/>
      </c>
      <c r="K34" s="6" t="n"/>
      <c r="L34" s="6" t="n"/>
      <c r="M34" s="6" t="n"/>
      <c r="N34" s="6" t="n"/>
      <c r="O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7">
        <f>IF(I35="","",MIN(100,ROUND(I35/3,0)+IF(B35="Forwarder",30,IF(B35="Broker",20,10))))</f>
        <v/>
      </c>
      <c r="K35" s="6" t="n"/>
      <c r="L35" s="6" t="n"/>
      <c r="M35" s="6" t="n"/>
      <c r="N35" s="6" t="n"/>
      <c r="O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7">
        <f>IF(I36="","",MIN(100,ROUND(I36/3,0)+IF(B36="Forwarder",30,IF(B36="Broker",20,10))))</f>
        <v/>
      </c>
      <c r="K36" s="6" t="n"/>
      <c r="L36" s="6" t="n"/>
      <c r="M36" s="6" t="n"/>
      <c r="N36" s="6" t="n"/>
      <c r="O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7">
        <f>IF(I37="","",MIN(100,ROUND(I37/3,0)+IF(B37="Forwarder",30,IF(B37="Broker",20,10))))</f>
        <v/>
      </c>
      <c r="K37" s="6" t="n"/>
      <c r="L37" s="6" t="n"/>
      <c r="M37" s="6" t="n"/>
      <c r="N37" s="6" t="n"/>
      <c r="O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>
        <f>IF(I38="","",MIN(100,ROUND(I38/3,0)+IF(B38="Forwarder",30,IF(B38="Broker",20,10))))</f>
        <v/>
      </c>
      <c r="K38" s="6" t="n"/>
      <c r="L38" s="6" t="n"/>
      <c r="M38" s="6" t="n"/>
      <c r="N38" s="6" t="n"/>
      <c r="O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>
        <f>IF(I39="","",MIN(100,ROUND(I39/3,0)+IF(B39="Forwarder",30,IF(B39="Broker",20,10))))</f>
        <v/>
      </c>
      <c r="K39" s="6" t="n"/>
      <c r="L39" s="6" t="n"/>
      <c r="M39" s="6" t="n"/>
      <c r="N39" s="6" t="n"/>
      <c r="O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>
        <f>IF(I40="","",MIN(100,ROUND(I40/3,0)+IF(B40="Forwarder",30,IF(B40="Broker",20,10))))</f>
        <v/>
      </c>
      <c r="K40" s="6" t="n"/>
      <c r="L40" s="6" t="n"/>
      <c r="M40" s="6" t="n"/>
      <c r="N40" s="6" t="n"/>
      <c r="O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7">
        <f>IF(I41="","",MIN(100,ROUND(I41/3,0)+IF(B41="Forwarder",30,IF(B41="Broker",20,10))))</f>
        <v/>
      </c>
      <c r="K41" s="6" t="n"/>
      <c r="L41" s="6" t="n"/>
      <c r="M41" s="6" t="n"/>
      <c r="N41" s="6" t="n"/>
      <c r="O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7">
        <f>IF(I42="","",MIN(100,ROUND(I42/3,0)+IF(B42="Forwarder",30,IF(B42="Broker",20,10))))</f>
        <v/>
      </c>
      <c r="K42" s="6" t="n"/>
      <c r="L42" s="6" t="n"/>
      <c r="M42" s="6" t="n"/>
      <c r="N42" s="6" t="n"/>
      <c r="O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7">
        <f>IF(I43="","",MIN(100,ROUND(I43/3,0)+IF(B43="Forwarder",30,IF(B43="Broker",20,10))))</f>
        <v/>
      </c>
      <c r="K43" s="6" t="n"/>
      <c r="L43" s="6" t="n"/>
      <c r="M43" s="6" t="n"/>
      <c r="N43" s="6" t="n"/>
      <c r="O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>
        <f>IF(I44="","",MIN(100,ROUND(I44/3,0)+IF(B44="Forwarder",30,IF(B44="Broker",20,10))))</f>
        <v/>
      </c>
      <c r="K44" s="6" t="n"/>
      <c r="L44" s="6" t="n"/>
      <c r="M44" s="6" t="n"/>
      <c r="N44" s="6" t="n"/>
      <c r="O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>
        <f>IF(I45="","",MIN(100,ROUND(I45/3,0)+IF(B45="Forwarder",30,IF(B45="Broker",20,10))))</f>
        <v/>
      </c>
      <c r="K45" s="6" t="n"/>
      <c r="L45" s="6" t="n"/>
      <c r="M45" s="6" t="n"/>
      <c r="N45" s="6" t="n"/>
      <c r="O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>
        <f>IF(I46="","",MIN(100,ROUND(I46/3,0)+IF(B46="Forwarder",30,IF(B46="Broker",20,10))))</f>
        <v/>
      </c>
      <c r="K46" s="6" t="n"/>
      <c r="L46" s="6" t="n"/>
      <c r="M46" s="6" t="n"/>
      <c r="N46" s="6" t="n"/>
      <c r="O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7">
        <f>IF(I47="","",MIN(100,ROUND(I47/3,0)+IF(B47="Forwarder",30,IF(B47="Broker",20,10))))</f>
        <v/>
      </c>
      <c r="K47" s="6" t="n"/>
      <c r="L47" s="6" t="n"/>
      <c r="M47" s="6" t="n"/>
      <c r="N47" s="6" t="n"/>
      <c r="O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7">
        <f>IF(I48="","",MIN(100,ROUND(I48/3,0)+IF(B48="Forwarder",30,IF(B48="Broker",20,10))))</f>
        <v/>
      </c>
      <c r="K48" s="6" t="n"/>
      <c r="L48" s="6" t="n"/>
      <c r="M48" s="6" t="n"/>
      <c r="N48" s="6" t="n"/>
      <c r="O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7">
        <f>IF(I49="","",MIN(100,ROUND(I49/3,0)+IF(B49="Forwarder",30,IF(B49="Broker",20,10))))</f>
        <v/>
      </c>
      <c r="K49" s="6" t="n"/>
      <c r="L49" s="6" t="n"/>
      <c r="M49" s="6" t="n"/>
      <c r="N49" s="6" t="n"/>
      <c r="O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>
        <f>IF(I50="","",MIN(100,ROUND(I50/3,0)+IF(B50="Forwarder",30,IF(B50="Broker",20,10))))</f>
        <v/>
      </c>
      <c r="K50" s="6" t="n"/>
      <c r="L50" s="6" t="n"/>
      <c r="M50" s="6" t="n"/>
      <c r="N50" s="6" t="n"/>
      <c r="O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>
        <f>IF(I51="","",MIN(100,ROUND(I51/3,0)+IF(B51="Forwarder",30,IF(B51="Broker",20,10))))</f>
        <v/>
      </c>
      <c r="K51" s="6" t="n"/>
      <c r="L51" s="6" t="n"/>
      <c r="M51" s="6" t="n"/>
      <c r="N51" s="6" t="n"/>
      <c r="O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>
        <f>IF(I52="","",MIN(100,ROUND(I52/3,0)+IF(B52="Forwarder",30,IF(B52="Broker",20,10))))</f>
        <v/>
      </c>
      <c r="K52" s="6" t="n"/>
      <c r="L52" s="6" t="n"/>
      <c r="M52" s="6" t="n"/>
      <c r="N52" s="6" t="n"/>
      <c r="O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7">
        <f>IF(I53="","",MIN(100,ROUND(I53/3,0)+IF(B53="Forwarder",30,IF(B53="Broker",20,10))))</f>
        <v/>
      </c>
      <c r="K53" s="6" t="n"/>
      <c r="L53" s="6" t="n"/>
      <c r="M53" s="6" t="n"/>
      <c r="N53" s="6" t="n"/>
      <c r="O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7">
        <f>IF(I54="","",MIN(100,ROUND(I54/3,0)+IF(B54="Forwarder",30,IF(B54="Broker",20,10))))</f>
        <v/>
      </c>
      <c r="K54" s="6" t="n"/>
      <c r="L54" s="6" t="n"/>
      <c r="M54" s="6" t="n"/>
      <c r="N54" s="6" t="n"/>
      <c r="O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7">
        <f>IF(I55="","",MIN(100,ROUND(I55/3,0)+IF(B55="Forwarder",30,IF(B55="Broker",20,10))))</f>
        <v/>
      </c>
      <c r="K55" s="6" t="n"/>
      <c r="L55" s="6" t="n"/>
      <c r="M55" s="6" t="n"/>
      <c r="N55" s="6" t="n"/>
      <c r="O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7">
        <f>IF(I56="","",MIN(100,ROUND(I56/3,0)+IF(B56="Forwarder",30,IF(B56="Broker",20,10))))</f>
        <v/>
      </c>
      <c r="K56" s="6" t="n"/>
      <c r="L56" s="6" t="n"/>
      <c r="M56" s="6" t="n"/>
      <c r="N56" s="6" t="n"/>
      <c r="O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7">
        <f>IF(I57="","",MIN(100,ROUND(I57/3,0)+IF(B57="Forwarder",30,IF(B57="Broker",20,10))))</f>
        <v/>
      </c>
      <c r="K57" s="6" t="n"/>
      <c r="L57" s="6" t="n"/>
      <c r="M57" s="6" t="n"/>
      <c r="N57" s="6" t="n"/>
      <c r="O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7">
        <f>IF(I58="","",MIN(100,ROUND(I58/3,0)+IF(B58="Forwarder",30,IF(B58="Broker",20,10))))</f>
        <v/>
      </c>
      <c r="K58" s="6" t="n"/>
      <c r="L58" s="6" t="n"/>
      <c r="M58" s="6" t="n"/>
      <c r="N58" s="6" t="n"/>
      <c r="O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7">
        <f>IF(I59="","",MIN(100,ROUND(I59/3,0)+IF(B59="Forwarder",30,IF(B59="Broker",20,10))))</f>
        <v/>
      </c>
      <c r="K59" s="6" t="n"/>
      <c r="L59" s="6" t="n"/>
      <c r="M59" s="6" t="n"/>
      <c r="N59" s="6" t="n"/>
      <c r="O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7">
        <f>IF(I60="","",MIN(100,ROUND(I60/3,0)+IF(B60="Forwarder",30,IF(B60="Broker",20,10))))</f>
        <v/>
      </c>
      <c r="K60" s="6" t="n"/>
      <c r="L60" s="6" t="n"/>
      <c r="M60" s="6" t="n"/>
      <c r="N60" s="6" t="n"/>
      <c r="O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7">
        <f>IF(I61="","",MIN(100,ROUND(I61/3,0)+IF(B61="Forwarder",30,IF(B61="Broker",20,10))))</f>
        <v/>
      </c>
      <c r="K61" s="6" t="n"/>
      <c r="L61" s="6" t="n"/>
      <c r="M61" s="6" t="n"/>
      <c r="N61" s="6" t="n"/>
      <c r="O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7">
        <f>IF(I62="","",MIN(100,ROUND(I62/3,0)+IF(B62="Forwarder",30,IF(B62="Broker",20,10))))</f>
        <v/>
      </c>
      <c r="K62" s="6" t="n"/>
      <c r="L62" s="6" t="n"/>
      <c r="M62" s="6" t="n"/>
      <c r="N62" s="6" t="n"/>
      <c r="O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7">
        <f>IF(I63="","",MIN(100,ROUND(I63/3,0)+IF(B63="Forwarder",30,IF(B63="Broker",20,10))))</f>
        <v/>
      </c>
      <c r="K63" s="6" t="n"/>
      <c r="L63" s="6" t="n"/>
      <c r="M63" s="6" t="n"/>
      <c r="N63" s="6" t="n"/>
      <c r="O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7">
        <f>IF(I64="","",MIN(100,ROUND(I64/3,0)+IF(B64="Forwarder",30,IF(B64="Broker",20,10))))</f>
        <v/>
      </c>
      <c r="K64" s="6" t="n"/>
      <c r="L64" s="6" t="n"/>
      <c r="M64" s="6" t="n"/>
      <c r="N64" s="6" t="n"/>
      <c r="O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7">
        <f>IF(I65="","",MIN(100,ROUND(I65/3,0)+IF(B65="Forwarder",30,IF(B65="Broker",20,10))))</f>
        <v/>
      </c>
      <c r="K65" s="6" t="n"/>
      <c r="L65" s="6" t="n"/>
      <c r="M65" s="6" t="n"/>
      <c r="N65" s="6" t="n"/>
      <c r="O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7">
        <f>IF(I66="","",MIN(100,ROUND(I66/3,0)+IF(B66="Forwarder",30,IF(B66="Broker",20,10))))</f>
        <v/>
      </c>
      <c r="K66" s="6" t="n"/>
      <c r="L66" s="6" t="n"/>
      <c r="M66" s="6" t="n"/>
      <c r="N66" s="6" t="n"/>
      <c r="O66" s="6" t="n"/>
    </row>
  </sheetData>
  <dataValidations count="2">
    <dataValidation sqref="B5:B66" showDropDown="0" showInputMessage="0" showErrorMessage="0" allowBlank="1" type="list">
      <formula1>"Forwarder,Importer,Broker,Other"</formula1>
    </dataValidation>
    <dataValidation sqref="L5:L66" showDropDown="0" showInputMessage="0" showErrorMessage="0" allowBlank="1" type="list">
      <formula1>"To contact,Researching,Emailed,Replied,Call booked,Pilot sent,Won,Lost,Not a fit"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46" customWidth="1" min="3" max="3"/>
  </cols>
  <sheetData>
    <row r="1">
      <c r="A1" s="1" t="inlineStr">
        <is>
          <t>Where to find freight forwarders &amp; importers</t>
        </is>
      </c>
    </row>
    <row r="2">
      <c r="A2" s="8" t="n"/>
      <c r="B2" s="9" t="n"/>
      <c r="C2" s="10" t="n"/>
    </row>
    <row r="3">
      <c r="A3" s="11" t="inlineStr">
        <is>
          <t>Source</t>
        </is>
      </c>
      <c r="B3" s="11" t="inlineStr">
        <is>
          <t>What to search</t>
        </is>
      </c>
      <c r="C3" s="11" t="inlineStr">
        <is>
          <t>Why it's good</t>
        </is>
      </c>
    </row>
    <row r="4">
      <c r="A4" s="8" t="inlineStr">
        <is>
          <t>LinkedIn</t>
        </is>
      </c>
      <c r="B4" s="9" t="inlineStr">
        <is>
          <t>“freight forwarder” + a port city (Los Angeles, Newark, Savannah, Houston). Filter to Owner/Operations/Import titles.</t>
        </is>
      </c>
      <c r="C4" s="10" t="inlineStr">
        <is>
          <t>Best for contact names + a warm-ish channel. Highest quality.</t>
        </is>
      </c>
    </row>
    <row r="5">
      <c r="A5" s="8" t="inlineStr">
        <is>
          <t>FMC licensed OTI list</t>
        </is>
      </c>
      <c r="B5" s="9" t="inlineStr">
        <is>
          <t>Search “FMC OTI list” — the official registry of licensed forwarders/NVOCCs.</t>
        </is>
      </c>
      <c r="C5" s="10" t="inlineStr">
        <is>
          <t>Authoritative, comprehensive, every US forwarder is here.</t>
        </is>
      </c>
    </row>
    <row r="6">
      <c r="A6" s="8" t="inlineStr">
        <is>
          <t>Port community / trade groups</t>
        </is>
      </c>
      <c r="B6" s="9" t="inlineStr">
        <is>
          <t>Local harbor commission directories, NCBFAA member list (customs brokers assoc.).</t>
        </is>
      </c>
      <c r="C6" s="10" t="inlineStr">
        <is>
          <t>Pre-filtered to exactly your buyer.</t>
        </is>
      </c>
    </row>
    <row r="7">
      <c r="A7" s="8" t="inlineStr">
        <is>
          <t>Google Maps</t>
        </is>
      </c>
      <c r="B7" s="9" t="inlineStr">
        <is>
          <t>“freight forwarder near [port city]” — grab small/independent shops.</t>
        </is>
      </c>
      <c r="C7" s="10" t="inlineStr">
        <is>
          <t>Finds the small independents that feel the D&amp;D pain most.</t>
        </is>
      </c>
    </row>
    <row r="8">
      <c r="A8" s="8" t="inlineStr">
        <is>
          <t>Importer databases</t>
        </is>
      </c>
      <c r="B8" s="9" t="inlineStr">
        <is>
          <t>ImportYeti / Panjiva (free tiers) — search by commodity (produce, seafood).</t>
        </is>
      </c>
      <c r="C8" s="10" t="inlineStr">
        <is>
          <t>Finds importers by what they ship; reveals their carriers.</t>
        </is>
      </c>
    </row>
    <row r="9">
      <c r="A9" s="8" t="inlineStr">
        <is>
          <t>Your network + dad's contacts</t>
        </is>
      </c>
      <c r="B9" s="9" t="inlineStr">
        <is>
          <t>Anyone in logistics, shipping, law, or trade.</t>
        </is>
      </c>
      <c r="C9" s="10" t="inlineStr">
        <is>
          <t>Warm intros convert 10x better than cold. Start here.</t>
        </is>
      </c>
    </row>
    <row r="10">
      <c r="A10" s="8" t="n"/>
      <c r="B10" s="9" t="n"/>
      <c r="C10" s="10" t="n"/>
    </row>
    <row r="11">
      <c r="A11" s="11" t="inlineStr">
        <is>
          <t>WHO TO PRIORITIZE</t>
        </is>
      </c>
      <c r="B11" s="11" t="n"/>
      <c r="C11" s="11" t="n"/>
    </row>
    <row r="12">
      <c r="A12" s="8" t="inlineStr">
        <is>
          <t>Best fit</t>
        </is>
      </c>
      <c r="B12" s="9" t="inlineStr">
        <is>
          <t>Small/mid forwarders (10–200 ppl) handling ocean IMPORT containers, esp. perishables (produce/seafood/pharma).</t>
        </is>
      </c>
      <c r="C12" s="10" t="n"/>
    </row>
    <row r="13">
      <c r="A13" s="8" t="inlineStr">
        <is>
          <t>The pain</t>
        </is>
      </c>
      <c r="B13" s="9" t="inlineStr">
        <is>
          <t>They eat D&amp;D fees or spend hours disputing them; their importer clients complain about surprise charges.</t>
        </is>
      </c>
      <c r="C13" s="10" t="n"/>
    </row>
    <row r="14">
      <c r="A14" s="8" t="inlineStr">
        <is>
          <t>Avoid for now</t>
        </is>
      </c>
      <c r="B14" s="9" t="inlineStr">
        <is>
          <t>Tiny one-off importers (no volume) and huge enterprises (slow procurement).</t>
        </is>
      </c>
      <c r="C1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Outreach scripts — copy, personalize, send</t>
        </is>
      </c>
    </row>
    <row r="2">
      <c r="A2" s="2" t="inlineStr">
        <is>
          <t>Replace [bracketed] bits. Keep it short and specific. Goal of msg #1 = permission to audit last month's invoices for FREE.</t>
        </is>
      </c>
    </row>
    <row r="4">
      <c r="A4" s="12" t="inlineStr">
        <is>
          <t>COLD EMAIL — to a forwarder</t>
        </is>
      </c>
    </row>
    <row r="5" ht="154" customHeight="1">
      <c r="A5" s="13" t="inlineStr">
        <is>
          <t>Subject: found $ in your carrier D&amp;D invoices (free check)
Hi [Name],
Quick one — since the FMC's 2024 rule, a lot of demurrage &amp; detention invoices are technically disputable (missing required info, billed late, math errors). Most get paid anyway because checking each one by hand is a pain.
I built a tool that audits D&amp;D invoices against the rule and drafts the dispute letter automatically. Can I run last month's invoices for [Company] for free and show you what's contestable? No cost, no commitment — if there's nothing there, you've lost nothing.
Worth a 15-min call?
[Your name] · [phone] · dnddefense.com</t>
        </is>
      </c>
    </row>
    <row r="9">
      <c r="A9" s="12" t="inlineStr">
        <is>
          <t>LINKEDIN DM — shorter</t>
        </is>
      </c>
    </row>
    <row r="10" ht="28" customHeight="1">
      <c r="A10" s="13" t="inlineStr">
        <is>
          <t>Hi [Name] — I help forwarders claw back demurrage &amp; detention fees that are disputable under the FMC rule. I'll audit a batch of your recent invoices free and show you what's contestable. Open to it?</t>
        </is>
      </c>
    </row>
    <row r="12">
      <c r="A12" s="12" t="inlineStr">
        <is>
          <t>WARM INTRO — via your / your dad's network</t>
        </is>
      </c>
    </row>
    <row r="13" ht="28" customHeight="1">
      <c r="A13" s="13" t="inlineStr">
        <is>
          <t>“I'm building software that checks ocean-freight demurrage invoices for billing errors and FMC violations and drafts the dispute. Do you know anyone at a freight forwarder or an importer who deals with container fees? I'm doing free audits to prove it out.”</t>
        </is>
      </c>
    </row>
    <row r="15">
      <c r="A15" s="12" t="inlineStr">
        <is>
          <t>FOLLOW-UP (if no reply after ~4 days)</t>
        </is>
      </c>
    </row>
    <row r="16" ht="56" customHeight="1">
      <c r="A16" s="13" t="inlineStr">
        <is>
          <t>Subject: re: D&amp;D invoices
Hi [Name], floating this back up. Happy to just run one or two recent invoices so you can see the output — takes me a few minutes and there's no cost. Worth a quick look?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2026-06-08T18:16:11Z</dcterms:created>
  <dcterms:modified xmlns:dcterms="http://purl.org/dc/terms/" xmlns:xsi="http://www.w3.org/2001/XMLSchema-instance" xsi:type="dcterms:W3CDTF">2026-06-08T18:16:11Z</dcterms:modified>
</cp:coreProperties>
</file>